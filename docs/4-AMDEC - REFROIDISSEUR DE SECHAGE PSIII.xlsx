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ubid\Desktop\FIABILISATION\2019 Fiabilité\DOSSIER MACHINE\Dossier Machine PS 2019\DM-REFROIDISSEURS D'ACIDE PSIII\Version Finale\"/>
    </mc:Choice>
  </mc:AlternateContent>
  <bookViews>
    <workbookView xWindow="0" yWindow="0" windowWidth="12510" windowHeight="7755"/>
  </bookViews>
  <sheets>
    <sheet name="AMDEC FOUR A SOUFRE" sheetId="11" r:id="rId1"/>
    <sheet name="GRV" sheetId="8" r:id="rId2"/>
    <sheet name="OCC" sheetId="9" r:id="rId3"/>
    <sheet name="DET" sheetId="10" r:id="rId4"/>
  </sheets>
  <externalReferences>
    <externalReference r:id="rId5"/>
  </externalReferences>
  <definedNames>
    <definedName name="Calc_sens2">[1]!Calc_sens2</definedName>
    <definedName name="Clear_sens2">[1]!Clear_sens2</definedName>
    <definedName name="SEV">#REF!</definedName>
  </definedNames>
  <calcPr calcId="162913"/>
</workbook>
</file>

<file path=xl/calcChain.xml><?xml version="1.0" encoding="utf-8"?>
<calcChain xmlns="http://schemas.openxmlformats.org/spreadsheetml/2006/main">
  <c r="K21" i="11" l="1"/>
  <c r="K23" i="11" l="1"/>
  <c r="K24" i="11"/>
  <c r="K22" i="11"/>
  <c r="K25" i="11"/>
  <c r="K19" i="11"/>
  <c r="K16" i="11"/>
  <c r="K13" i="11"/>
  <c r="K10" i="11"/>
</calcChain>
</file>

<file path=xl/sharedStrings.xml><?xml version="1.0" encoding="utf-8"?>
<sst xmlns="http://schemas.openxmlformats.org/spreadsheetml/2006/main" count="161" uniqueCount="120">
  <si>
    <t>Gravité</t>
  </si>
  <si>
    <t>Classement</t>
  </si>
  <si>
    <t>Dangereux sans alarme</t>
  </si>
  <si>
    <t>Classement très élevé de la gravité - Affecte l'opérateur, le personnel d'usine ou d'entretien, la sécurité et / ou représente un non-respect des règlements gouvernementaux, SANS avertissement.</t>
  </si>
  <si>
    <t>Dangereux avec  alarme</t>
  </si>
  <si>
    <t>Classement élevé de la gravité - Affecte l'opérateur, le personnel d'usine ou d'entretien, la sécurité et / ou représente un non-respect des règlements gouvernementaux, AVEC avertissement.</t>
  </si>
  <si>
    <t>Très élevé</t>
  </si>
  <si>
    <t>Temps d'arrêt de plus de 8 heures ou production de produits non-conforme pendant plus de 4 heures.</t>
  </si>
  <si>
    <t>Elevé</t>
  </si>
  <si>
    <t>Temps d'arrêt entre 4 heures et 8 heures ou production de produits non-conforme pendant 2 heures à 4 heures.</t>
  </si>
  <si>
    <t>Modéré</t>
  </si>
  <si>
    <t>Temps d'arrêt entre 1 heure et 4 heures ou production de produits non-conforme pendant 1 heure à 2 heures.</t>
  </si>
  <si>
    <t>Faible</t>
  </si>
  <si>
    <t>Temps d'arrêt entre 30 minutes et 1 heure ou production de produits non-conforme jusqu'à 1 heure.</t>
  </si>
  <si>
    <t>Très Faible</t>
  </si>
  <si>
    <t>Temps d'arrêt entre 10 à 30 minutes mais pas de production de produits non-conforme.</t>
  </si>
  <si>
    <t>Mineur</t>
  </si>
  <si>
    <t>Temps d'arrêt jusqu'à 10 minutes mais pas de production de produits non-conforme.</t>
  </si>
  <si>
    <t>Très mineur</t>
  </si>
  <si>
    <t>La variation des paramètres de production/processus n'est pas conforme aux spécifications limites. Des ajustements ou autres contrôles du processus doivent être effectués pendant la production. Pas de temps d'arrêt et pas de production de produit non-conforme.</t>
  </si>
  <si>
    <t>La variation des paramètres de production/processus n'est pas conforme aux spécifications limites. Des ajustements ou autres contrôles du processus peuvent être effectués pendant la maintenance normale.</t>
  </si>
  <si>
    <t>Probabilité de la Défaillance</t>
  </si>
  <si>
    <t>MTBF (Heures)</t>
  </si>
  <si>
    <t>Très élevé : la défaillance est presque inévitable</t>
  </si>
  <si>
    <t>La défaillance se produit chaque heure</t>
  </si>
  <si>
    <t>1 chaque 1 h</t>
  </si>
  <si>
    <t>La défaillance se produit chaque poste</t>
  </si>
  <si>
    <t>1 chaque 8 h</t>
  </si>
  <si>
    <t>Elevé : défaillances répétées</t>
  </si>
  <si>
    <t>La défaillance se produit chaque jour</t>
  </si>
  <si>
    <t>1 chaque 24 h</t>
  </si>
  <si>
    <t>La défaillance se produit chaque semaine</t>
  </si>
  <si>
    <t>1 chaque 80 h</t>
  </si>
  <si>
    <t>Modéré : défaillances occasionnelles</t>
  </si>
  <si>
    <t>La défaillance survient chaque mois</t>
  </si>
  <si>
    <t>1 chaque 350 h</t>
  </si>
  <si>
    <t>La défaillance se produit tous les 3 mois</t>
  </si>
  <si>
    <t>1 chaque 1000 h</t>
  </si>
  <si>
    <t>La défaillance se produit tous les 6 mois</t>
  </si>
  <si>
    <t>1 chaque 2500 h</t>
  </si>
  <si>
    <t>Faible : Relativement peu de défaillances</t>
  </si>
  <si>
    <t>La défaillance survient chaque année</t>
  </si>
  <si>
    <t>1 chaque 5000 h</t>
  </si>
  <si>
    <t>La défaillance se produit tous les 2 ans</t>
  </si>
  <si>
    <t>1 chaque 10000 h</t>
  </si>
  <si>
    <t>Rarement : la défaillance est peu probable</t>
  </si>
  <si>
    <t>La défaillance survient tous les 5 ans</t>
  </si>
  <si>
    <t>1 chaque 25000 h</t>
  </si>
  <si>
    <t>Détection</t>
  </si>
  <si>
    <t>Probabilité de détection par les Equipements de Surveillance</t>
  </si>
  <si>
    <t>Les Equipements de Surveillance détectent presque certainement la cause potentielle et le mode potentiel de défaillance, les contrôles de l'équipement ne sont pas nécessaires.</t>
  </si>
  <si>
    <t>Fonction</t>
  </si>
  <si>
    <t>Les Equipements de Surveillance ou les contrôles de l'équipement ne peuvent pas détecter une cause potentielle et une défaillance critique, ou il n'y a pas des équipements de surveillance et les contrôles de l'équipement sont très difficiles.</t>
  </si>
  <si>
    <t>Les Equipements de Surveillance peuvent détecter la cause potentielle et le mode potentiel de défaillance et/ou Les contrôles visuelles, par ouïe...de l'équipement empêcheront une défaillance critique.</t>
  </si>
  <si>
    <t>Les contrôles de l'équipement en utilisant un outillage spécifique fourniront un indicateur d'une défaillance critique et/ou les Equipements de Surveillance ne peuvent pas détecter la défaillance.</t>
  </si>
  <si>
    <t>Criticité</t>
  </si>
  <si>
    <t>Sans effet</t>
  </si>
  <si>
    <t>Effet</t>
  </si>
  <si>
    <t>Les contrôles de l'équipement nécessiteront un démontage pour détecter la cause et le mode de défaillance critique et les Equipements de Surveillance ne peuvent pas détecter la défaillance.</t>
  </si>
  <si>
    <t>AMDEC</t>
  </si>
  <si>
    <t>ANALYSE DES MODES DE DEFAILLANCES DE LEURS EFFETS ET DE LEUR CRITICITE</t>
  </si>
  <si>
    <t>Type       : …………………</t>
  </si>
  <si>
    <t>Marque   :…………………</t>
  </si>
  <si>
    <t>……………………………………..</t>
  </si>
  <si>
    <t>Page ………../………..</t>
  </si>
  <si>
    <t>Elément</t>
  </si>
  <si>
    <t>Mode</t>
  </si>
  <si>
    <t>de</t>
  </si>
  <si>
    <t>défaillance</t>
  </si>
  <si>
    <t>Cause</t>
  </si>
  <si>
    <t>Action corrective</t>
  </si>
  <si>
    <t>F</t>
  </si>
  <si>
    <t>G</t>
  </si>
  <si>
    <t>N</t>
  </si>
  <si>
    <t>C</t>
  </si>
  <si>
    <t>Visuel</t>
  </si>
  <si>
    <t>Alarme</t>
  </si>
  <si>
    <t xml:space="preserve">Usure </t>
  </si>
  <si>
    <t>Corrosion</t>
  </si>
  <si>
    <t>Perte d'eapisseur</t>
  </si>
  <si>
    <t>Mesure d'epaisseur</t>
  </si>
  <si>
    <t>Arret de la machine</t>
  </si>
  <si>
    <t>Usure et fatigue</t>
  </si>
  <si>
    <t>Réduction de la cadence</t>
  </si>
  <si>
    <t>Dysfonctionnement</t>
  </si>
  <si>
    <t>FOUR</t>
  </si>
  <si>
    <t>Bouchage</t>
  </si>
  <si>
    <t>SOUS -EQUIPEMENT</t>
  </si>
  <si>
    <r>
      <t xml:space="preserve">Réalisé par : </t>
    </r>
    <r>
      <rPr>
        <b/>
        <sz val="11"/>
        <rFont val="Times New Roman"/>
        <family val="1"/>
      </rPr>
      <t>OUBID</t>
    </r>
  </si>
  <si>
    <r>
      <t xml:space="preserve">Atelier : </t>
    </r>
    <r>
      <rPr>
        <b/>
        <sz val="10"/>
        <rFont val="Times New Roman"/>
        <family val="1"/>
      </rPr>
      <t>PSIII</t>
    </r>
  </si>
  <si>
    <t>Mesure des epaisseurs</t>
  </si>
  <si>
    <t>Changement systématique</t>
  </si>
  <si>
    <t>Changement joint chaque révision</t>
  </si>
  <si>
    <t>Inspection visuelle</t>
  </si>
  <si>
    <t>Contrôle son etat chaque révision</t>
  </si>
  <si>
    <r>
      <t xml:space="preserve">N- equipement : </t>
    </r>
    <r>
      <rPr>
        <b/>
        <sz val="11"/>
        <rFont val="Times New Roman"/>
        <family val="1"/>
      </rPr>
      <t>S-PC-E7301</t>
    </r>
    <r>
      <rPr>
        <sz val="10"/>
        <rFont val="Times New Roman"/>
        <family val="1"/>
      </rPr>
      <t>….</t>
    </r>
  </si>
  <si>
    <r>
      <t xml:space="preserve">Date de l’analyse : </t>
    </r>
    <r>
      <rPr>
        <b/>
        <sz val="11"/>
        <rFont val="Times New Roman"/>
        <family val="1"/>
      </rPr>
      <t>23/09/2019</t>
    </r>
  </si>
  <si>
    <r>
      <t>Machine :…REFROIDISSEUR</t>
    </r>
    <r>
      <rPr>
        <b/>
        <sz val="10"/>
        <rFont val="Times New Roman"/>
        <family val="1"/>
      </rPr>
      <t>- E7301</t>
    </r>
    <r>
      <rPr>
        <sz val="10"/>
        <rFont val="Times New Roman"/>
        <family val="1"/>
      </rPr>
      <t>…………</t>
    </r>
  </si>
  <si>
    <r>
      <t xml:space="preserve">Système : </t>
    </r>
    <r>
      <rPr>
        <b/>
        <sz val="11"/>
        <rFont val="Times New Roman"/>
        <family val="1"/>
      </rPr>
      <t>REFROIDISSEUR DE SECHAGE</t>
    </r>
  </si>
  <si>
    <t>FAISEAU TUBULAIRE</t>
  </si>
  <si>
    <t>Accés  pour inspection</t>
  </si>
  <si>
    <t xml:space="preserve">Fuite </t>
  </si>
  <si>
    <t>Fuite / Bouchage</t>
  </si>
  <si>
    <r>
      <t xml:space="preserve">Mesure des epaisseurs ( </t>
    </r>
    <r>
      <rPr>
        <b/>
        <u/>
        <sz val="10"/>
        <color theme="1"/>
        <rFont val="Times New Roman"/>
        <family val="1"/>
      </rPr>
      <t xml:space="preserve">Courant foucault </t>
    </r>
    <r>
      <rPr>
        <sz val="10"/>
        <rFont val="Times New Roman"/>
        <family val="1"/>
      </rPr>
      <t>)</t>
    </r>
  </si>
  <si>
    <t>Assurer l'echange thermique entre l'acide et eau</t>
  </si>
  <si>
    <t>PORTE DE VISITE</t>
  </si>
  <si>
    <t>CALENDRE</t>
  </si>
  <si>
    <t>PLAQUE SACRIFICIELLE</t>
  </si>
  <si>
    <t>VANNE D'ACIDE</t>
  </si>
  <si>
    <t>VANNE D'E/M</t>
  </si>
  <si>
    <t>Corrosion et perte d'épaisseur</t>
  </si>
  <si>
    <t>Isolement et viandge de l'eau de mer</t>
  </si>
  <si>
    <t>Fuite</t>
  </si>
  <si>
    <t>¨Perte d'etanchieté</t>
  </si>
  <si>
    <t>Coincement</t>
  </si>
  <si>
    <t>Isolement et viandge d'acide dans le calendre</t>
  </si>
  <si>
    <t>Anode sacrificielle pour proteger le métal de base</t>
  </si>
  <si>
    <t>Circulation de l'acide sulfurique</t>
  </si>
  <si>
    <t>Arrêt de la ligne</t>
  </si>
  <si>
    <t>Arret de la ligne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</si>
</sst>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name val="Arial"/>
    </font>
    <font>
      <sz val="10"/>
      <name val="Arial"/>
      <family val="2"/>
    </font>
    <font>
      <b/>
      <sz val="10"/>
      <name val="Arial"/>
      <family val="2"/>
    </font>
    <font>
      <b/>
      <sz val="12"/>
      <color indexed="9"/>
      <name val="Arial"/>
      <family val="2"/>
    </font>
    <font>
      <b/>
      <sz val="12"/>
      <name val="Arial"/>
      <family val="2"/>
    </font>
    <font>
      <sz val="10"/>
      <color rgb="FF000000"/>
      <name val="Calibri"/>
      <family val="2"/>
    </font>
    <font>
      <b/>
      <sz val="12"/>
      <color theme="0"/>
      <name val="Arial"/>
      <family val="2"/>
    </font>
    <font>
      <sz val="12"/>
      <color rgb="FF000000"/>
      <name val="Arial"/>
      <family val="2"/>
    </font>
    <font>
      <b/>
      <sz val="12"/>
      <color theme="1"/>
      <name val="Arial"/>
      <family val="2"/>
    </font>
    <font>
      <b/>
      <sz val="12"/>
      <color rgb="FF000000"/>
      <name val="Arial"/>
      <family val="2"/>
    </font>
    <font>
      <sz val="12"/>
      <name val="Arial"/>
      <family val="2"/>
    </font>
    <font>
      <sz val="10"/>
      <name val="Times New Roman"/>
      <family val="1"/>
    </font>
    <font>
      <b/>
      <sz val="10"/>
      <name val="Times New Roman"/>
      <family val="1"/>
    </font>
    <font>
      <b/>
      <sz val="11"/>
      <name val="Times New Roman"/>
      <family val="1"/>
    </font>
    <font>
      <b/>
      <sz val="16"/>
      <name val="Times New Roman"/>
      <family val="1"/>
    </font>
    <font>
      <b/>
      <sz val="16"/>
      <name val="Arial"/>
      <family val="2"/>
    </font>
    <font>
      <b/>
      <sz val="8"/>
      <name val="Times New Roman"/>
      <family val="1"/>
    </font>
    <font>
      <sz val="9"/>
      <name val="Times New Roman"/>
      <family val="1"/>
    </font>
    <font>
      <b/>
      <sz val="10"/>
      <color theme="1"/>
      <name val="Times New Roman"/>
      <family val="1"/>
    </font>
    <font>
      <b/>
      <u/>
      <sz val="10"/>
      <color theme="1"/>
      <name val="Times New Roman"/>
      <family val="1"/>
    </font>
  </fonts>
  <fills count="22">
    <fill>
      <patternFill patternType="none"/>
    </fill>
    <fill>
      <patternFill patternType="gray125"/>
    </fill>
    <fill>
      <patternFill patternType="solid">
        <fgColor indexed="8"/>
        <bgColor indexed="64"/>
      </patternFill>
    </fill>
    <fill>
      <patternFill patternType="solid">
        <fgColor indexed="10"/>
        <bgColor indexed="64"/>
      </patternFill>
    </fill>
    <fill>
      <patternFill patternType="solid">
        <fgColor indexed="29"/>
        <bgColor indexed="64"/>
      </patternFill>
    </fill>
    <fill>
      <patternFill patternType="solid">
        <fgColor indexed="34"/>
        <bgColor indexed="64"/>
      </patternFill>
    </fill>
    <fill>
      <patternFill patternType="solid">
        <fgColor indexed="43"/>
        <bgColor indexed="64"/>
      </patternFill>
    </fill>
    <fill>
      <patternFill patternType="solid">
        <fgColor indexed="17"/>
        <bgColor indexed="64"/>
      </patternFill>
    </fill>
    <fill>
      <patternFill patternType="solid">
        <fgColor indexed="50"/>
        <bgColor indexed="64"/>
      </patternFill>
    </fill>
    <fill>
      <patternFill patternType="solid">
        <fgColor indexed="13"/>
        <bgColor indexed="64"/>
      </patternFill>
    </fill>
    <fill>
      <patternFill patternType="solid">
        <fgColor rgb="FFC0E0FF"/>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rgb="FF008000"/>
        <bgColor indexed="64"/>
      </patternFill>
    </fill>
    <fill>
      <patternFill patternType="solid">
        <fgColor rgb="FFFF8080"/>
        <bgColor indexed="64"/>
      </patternFill>
    </fill>
    <fill>
      <patternFill patternType="solid">
        <fgColor rgb="FFFFFF99"/>
        <bgColor indexed="64"/>
      </patternFill>
    </fill>
    <fill>
      <patternFill patternType="solid">
        <fgColor rgb="FF99CC00"/>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5" tint="0.79998168889431442"/>
        <bgColor indexed="64"/>
      </patternFill>
    </fill>
  </fills>
  <borders count="3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0" fontId="1" fillId="0" borderId="0"/>
  </cellStyleXfs>
  <cellXfs count="138">
    <xf numFmtId="0" fontId="0" fillId="0" borderId="0" xfId="0"/>
    <xf numFmtId="0" fontId="4" fillId="4" borderId="5" xfId="1" applyFont="1" applyFill="1" applyBorder="1" applyAlignment="1">
      <alignment horizontal="center" vertical="center"/>
    </xf>
    <xf numFmtId="0" fontId="4" fillId="6" borderId="5" xfId="1" applyFont="1" applyFill="1" applyBorder="1" applyAlignment="1">
      <alignment horizontal="center" vertical="center"/>
    </xf>
    <xf numFmtId="0" fontId="4" fillId="8" borderId="5" xfId="1" applyFont="1" applyFill="1" applyBorder="1" applyAlignment="1">
      <alignment horizontal="center" vertical="center"/>
    </xf>
    <xf numFmtId="0" fontId="4" fillId="8" borderId="10" xfId="1" applyFont="1" applyFill="1" applyBorder="1" applyAlignment="1">
      <alignment horizontal="center" vertical="center"/>
    </xf>
    <xf numFmtId="0" fontId="5" fillId="11" borderId="7" xfId="0" applyFont="1" applyFill="1" applyBorder="1" applyAlignment="1">
      <alignment horizontal="left" vertical="center" wrapText="1"/>
    </xf>
    <xf numFmtId="0" fontId="5" fillId="13" borderId="7" xfId="0" applyFont="1" applyFill="1" applyBorder="1" applyAlignment="1">
      <alignment horizontal="left" vertical="center" wrapText="1"/>
    </xf>
    <xf numFmtId="0" fontId="5" fillId="14" borderId="7" xfId="0" applyFont="1" applyFill="1" applyBorder="1" applyAlignment="1">
      <alignment horizontal="left" vertical="center" wrapText="1"/>
    </xf>
    <xf numFmtId="0" fontId="5" fillId="14" borderId="9" xfId="0" applyFont="1" applyFill="1" applyBorder="1" applyAlignment="1">
      <alignment horizontal="left" vertical="center" wrapText="1"/>
    </xf>
    <xf numFmtId="0" fontId="5" fillId="11" borderId="7" xfId="0" applyFont="1" applyFill="1" applyBorder="1" applyAlignment="1">
      <alignment horizontal="center" vertical="center" wrapText="1"/>
    </xf>
    <xf numFmtId="0" fontId="5" fillId="14" borderId="7" xfId="0" applyFont="1" applyFill="1" applyBorder="1" applyAlignment="1">
      <alignment horizontal="center" vertical="center" wrapText="1"/>
    </xf>
    <xf numFmtId="0" fontId="5" fillId="14" borderId="9" xfId="0" applyFont="1" applyFill="1" applyBorder="1" applyAlignment="1">
      <alignment horizontal="center" vertical="center" wrapText="1"/>
    </xf>
    <xf numFmtId="0" fontId="7" fillId="14" borderId="5"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1" borderId="5"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7" fillId="13" borderId="5" xfId="0" applyFont="1" applyFill="1" applyBorder="1" applyAlignment="1">
      <alignment horizontal="center" vertical="center" wrapText="1"/>
    </xf>
    <xf numFmtId="0" fontId="6" fillId="12" borderId="1" xfId="0" applyFont="1" applyFill="1" applyBorder="1" applyAlignment="1">
      <alignment horizontal="center" vertical="center"/>
    </xf>
    <xf numFmtId="0" fontId="6" fillId="12" borderId="2" xfId="0" applyFont="1" applyFill="1" applyBorder="1" applyAlignment="1">
      <alignment horizontal="center" vertical="center"/>
    </xf>
    <xf numFmtId="0" fontId="9" fillId="17" borderId="6" xfId="0" applyFont="1" applyFill="1" applyBorder="1" applyAlignment="1">
      <alignment horizontal="center" vertical="center"/>
    </xf>
    <xf numFmtId="0" fontId="9" fillId="14" borderId="7" xfId="0" applyFont="1" applyFill="1" applyBorder="1" applyAlignment="1">
      <alignment horizontal="center" vertical="center"/>
    </xf>
    <xf numFmtId="0" fontId="9" fillId="16" borderId="6" xfId="0" applyFont="1" applyFill="1" applyBorder="1" applyAlignment="1">
      <alignment horizontal="center" vertical="center"/>
    </xf>
    <xf numFmtId="0" fontId="9" fillId="13" borderId="7" xfId="0" applyFont="1" applyFill="1" applyBorder="1" applyAlignment="1">
      <alignment horizontal="center" vertical="center"/>
    </xf>
    <xf numFmtId="0" fontId="9" fillId="15" borderId="6" xfId="0" applyFont="1" applyFill="1" applyBorder="1" applyAlignment="1">
      <alignment horizontal="center" vertical="center"/>
    </xf>
    <xf numFmtId="0" fontId="9" fillId="11" borderId="7" xfId="0" applyFont="1" applyFill="1" applyBorder="1" applyAlignment="1">
      <alignment horizontal="center" vertical="center"/>
    </xf>
    <xf numFmtId="0" fontId="9" fillId="15" borderId="8" xfId="0" applyFont="1" applyFill="1" applyBorder="1" applyAlignment="1">
      <alignment horizontal="center" vertical="center"/>
    </xf>
    <xf numFmtId="0" fontId="9" fillId="11" borderId="9" xfId="0" applyFont="1" applyFill="1" applyBorder="1" applyAlignment="1">
      <alignment horizontal="center" vertical="center"/>
    </xf>
    <xf numFmtId="0" fontId="6" fillId="12" borderId="12" xfId="0" applyFont="1" applyFill="1" applyBorder="1" applyAlignment="1">
      <alignment horizontal="center" vertical="center" wrapText="1"/>
    </xf>
    <xf numFmtId="0" fontId="9" fillId="17" borderId="3" xfId="0" applyFont="1" applyFill="1" applyBorder="1" applyAlignment="1">
      <alignment horizontal="center" vertical="center"/>
    </xf>
    <xf numFmtId="0" fontId="9" fillId="14" borderId="4" xfId="0" applyFont="1" applyFill="1" applyBorder="1" applyAlignment="1">
      <alignment horizontal="center" vertical="center"/>
    </xf>
    <xf numFmtId="0" fontId="10" fillId="14" borderId="11" xfId="0" applyFont="1" applyFill="1" applyBorder="1" applyAlignment="1">
      <alignment horizontal="left" vertical="center" wrapText="1"/>
    </xf>
    <xf numFmtId="0" fontId="10" fillId="14" borderId="5" xfId="0" applyFont="1" applyFill="1" applyBorder="1" applyAlignment="1">
      <alignment horizontal="left" vertical="center" wrapText="1"/>
    </xf>
    <xf numFmtId="0" fontId="10" fillId="13" borderId="5" xfId="0" applyFont="1" applyFill="1" applyBorder="1" applyAlignment="1">
      <alignment horizontal="left" vertical="center" wrapText="1"/>
    </xf>
    <xf numFmtId="0" fontId="10" fillId="11" borderId="5"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0" fillId="0" borderId="0" xfId="0" applyAlignment="1">
      <alignment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11" xfId="1" applyFont="1" applyFill="1" applyBorder="1" applyAlignment="1">
      <alignment horizontal="center" vertical="center"/>
    </xf>
    <xf numFmtId="0" fontId="2" fillId="3" borderId="6" xfId="1" applyFont="1" applyFill="1" applyBorder="1" applyAlignment="1">
      <alignment vertical="center" wrapText="1"/>
    </xf>
    <xf numFmtId="0" fontId="1" fillId="3" borderId="7" xfId="1" applyFont="1" applyFill="1" applyBorder="1" applyAlignment="1">
      <alignment vertical="center" wrapText="1"/>
    </xf>
    <xf numFmtId="0" fontId="2" fillId="5" borderId="6" xfId="1" applyFont="1" applyFill="1" applyBorder="1" applyAlignment="1">
      <alignment vertical="center" wrapText="1"/>
    </xf>
    <xf numFmtId="0" fontId="1" fillId="5" borderId="7" xfId="1" applyFont="1" applyFill="1" applyBorder="1" applyAlignment="1">
      <alignment vertical="center" wrapText="1"/>
    </xf>
    <xf numFmtId="0" fontId="2" fillId="18" borderId="6" xfId="1" applyFont="1" applyFill="1" applyBorder="1" applyAlignment="1">
      <alignment vertical="center" wrapText="1"/>
    </xf>
    <xf numFmtId="0" fontId="1" fillId="18" borderId="7" xfId="1" applyFont="1" applyFill="1" applyBorder="1" applyAlignment="1">
      <alignment vertical="center" wrapText="1"/>
    </xf>
    <xf numFmtId="0" fontId="2" fillId="18" borderId="8" xfId="1" applyFont="1" applyFill="1" applyBorder="1" applyAlignment="1">
      <alignment vertical="center" wrapText="1"/>
    </xf>
    <xf numFmtId="0" fontId="1" fillId="18" borderId="9" xfId="1" applyFont="1" applyFill="1" applyBorder="1" applyAlignment="1">
      <alignment vertical="center" wrapText="1"/>
    </xf>
    <xf numFmtId="0" fontId="6" fillId="12" borderId="11" xfId="0" applyFont="1" applyFill="1" applyBorder="1" applyAlignment="1">
      <alignment horizontal="center" vertical="center" wrapText="1"/>
    </xf>
    <xf numFmtId="0" fontId="4" fillId="15" borderId="6" xfId="1" applyFont="1" applyFill="1" applyBorder="1" applyAlignment="1">
      <alignment horizontal="center" vertical="center"/>
    </xf>
    <xf numFmtId="0" fontId="2" fillId="3" borderId="7" xfId="1" applyFont="1" applyFill="1" applyBorder="1" applyAlignment="1">
      <alignment vertical="center"/>
    </xf>
    <xf numFmtId="0" fontId="8" fillId="15" borderId="6" xfId="1" applyFont="1" applyFill="1" applyBorder="1" applyAlignment="1">
      <alignment horizontal="center" vertical="center"/>
    </xf>
    <xf numFmtId="0" fontId="4" fillId="4" borderId="6" xfId="1" applyFont="1" applyFill="1" applyBorder="1" applyAlignment="1">
      <alignment horizontal="center" vertical="center"/>
    </xf>
    <xf numFmtId="0" fontId="4" fillId="6" borderId="6" xfId="1" applyFont="1" applyFill="1" applyBorder="1" applyAlignment="1">
      <alignment horizontal="center" vertical="center"/>
    </xf>
    <xf numFmtId="0" fontId="2" fillId="9" borderId="7" xfId="1" applyFont="1" applyFill="1" applyBorder="1" applyAlignment="1">
      <alignment vertical="center"/>
    </xf>
    <xf numFmtId="0" fontId="4" fillId="8" borderId="6" xfId="1" applyFont="1" applyFill="1" applyBorder="1" applyAlignment="1">
      <alignment horizontal="center" vertical="center"/>
    </xf>
    <xf numFmtId="0" fontId="2" fillId="14" borderId="7" xfId="1" applyFont="1" applyFill="1" applyBorder="1" applyAlignment="1">
      <alignment vertical="center"/>
    </xf>
    <xf numFmtId="0" fontId="2" fillId="7" borderId="7" xfId="1" applyFont="1" applyFill="1" applyBorder="1" applyAlignment="1">
      <alignment vertical="center"/>
    </xf>
    <xf numFmtId="0" fontId="4" fillId="8" borderId="8" xfId="1" applyFont="1" applyFill="1" applyBorder="1" applyAlignment="1">
      <alignment horizontal="center" vertical="center"/>
    </xf>
    <xf numFmtId="0" fontId="2" fillId="7" borderId="9" xfId="1" applyFont="1" applyFill="1" applyBorder="1" applyAlignment="1">
      <alignment vertical="center"/>
    </xf>
    <xf numFmtId="0" fontId="11" fillId="0" borderId="0" xfId="0" applyFont="1" applyAlignment="1">
      <alignment vertical="center" wrapText="1"/>
    </xf>
    <xf numFmtId="0" fontId="18" fillId="10" borderId="18" xfId="0" applyFont="1" applyFill="1" applyBorder="1" applyAlignment="1">
      <alignment horizontal="center" vertical="center" wrapText="1"/>
    </xf>
    <xf numFmtId="0" fontId="13" fillId="20" borderId="6" xfId="0" applyFont="1" applyFill="1" applyBorder="1" applyAlignment="1">
      <alignment vertical="center" wrapText="1"/>
    </xf>
    <xf numFmtId="0" fontId="11" fillId="21" borderId="17" xfId="0" applyFont="1" applyFill="1" applyBorder="1" applyAlignment="1">
      <alignment vertical="center" wrapText="1"/>
    </xf>
    <xf numFmtId="0" fontId="11" fillId="21" borderId="18" xfId="0" applyFont="1" applyFill="1" applyBorder="1" applyAlignment="1">
      <alignment vertical="center" wrapText="1"/>
    </xf>
    <xf numFmtId="0" fontId="11" fillId="21" borderId="20" xfId="0" applyFont="1" applyFill="1" applyBorder="1" applyAlignment="1">
      <alignment vertical="center" wrapText="1"/>
    </xf>
    <xf numFmtId="0" fontId="17" fillId="0" borderId="7" xfId="0" applyFont="1" applyBorder="1" applyAlignment="1">
      <alignment horizontal="left" vertical="center" wrapText="1"/>
    </xf>
    <xf numFmtId="0" fontId="11" fillId="0" borderId="7" xfId="0" applyFont="1" applyBorder="1" applyAlignment="1">
      <alignment horizontal="left" vertical="center" wrapText="1"/>
    </xf>
    <xf numFmtId="0" fontId="17" fillId="0" borderId="9" xfId="0" applyFont="1" applyBorder="1" applyAlignment="1">
      <alignment horizontal="left" vertical="center" wrapText="1"/>
    </xf>
    <xf numFmtId="0" fontId="11" fillId="0" borderId="9" xfId="0" applyFont="1" applyBorder="1" applyAlignment="1">
      <alignment horizontal="left" vertical="center" wrapText="1"/>
    </xf>
    <xf numFmtId="0" fontId="11" fillId="0" borderId="4" xfId="0" applyFont="1" applyBorder="1" applyAlignment="1">
      <alignment horizontal="left" vertical="center" wrapText="1"/>
    </xf>
    <xf numFmtId="0" fontId="17" fillId="0" borderId="4"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9" xfId="0" applyFont="1" applyBorder="1" applyAlignment="1">
      <alignment horizontal="center" vertical="center" wrapText="1"/>
    </xf>
    <xf numFmtId="0" fontId="16" fillId="11" borderId="7" xfId="0" applyFont="1" applyFill="1" applyBorder="1" applyAlignment="1">
      <alignment horizontal="center" vertical="center" wrapText="1"/>
    </xf>
    <xf numFmtId="0" fontId="16" fillId="18" borderId="7" xfId="0" applyFont="1" applyFill="1" applyBorder="1" applyAlignment="1">
      <alignment horizontal="center" vertical="center" wrapText="1"/>
    </xf>
    <xf numFmtId="0" fontId="11" fillId="0" borderId="7" xfId="0" applyFont="1" applyBorder="1" applyAlignment="1">
      <alignment vertical="center" wrapText="1"/>
    </xf>
    <xf numFmtId="0" fontId="16" fillId="18" borderId="9" xfId="0" applyFont="1" applyFill="1" applyBorder="1" applyAlignment="1">
      <alignment horizontal="center" vertical="center" wrapText="1"/>
    </xf>
    <xf numFmtId="0" fontId="13" fillId="20" borderId="24" xfId="0" applyFont="1" applyFill="1" applyBorder="1" applyAlignment="1">
      <alignment horizontal="left" vertical="center" wrapText="1"/>
    </xf>
    <xf numFmtId="0" fontId="13" fillId="20" borderId="26" xfId="0" applyFont="1" applyFill="1" applyBorder="1" applyAlignment="1">
      <alignment horizontal="left" vertical="center" wrapText="1"/>
    </xf>
    <xf numFmtId="0" fontId="13" fillId="20" borderId="27" xfId="0" applyFont="1" applyFill="1" applyBorder="1" applyAlignment="1">
      <alignment horizontal="left" vertical="center" wrapText="1"/>
    </xf>
    <xf numFmtId="0" fontId="13" fillId="20" borderId="30" xfId="0" applyFont="1" applyFill="1" applyBorder="1" applyAlignment="1">
      <alignment horizontal="left" vertical="center" wrapText="1"/>
    </xf>
    <xf numFmtId="0" fontId="11" fillId="0" borderId="7" xfId="0" applyFont="1" applyBorder="1" applyAlignment="1">
      <alignment vertical="center" wrapText="1"/>
    </xf>
    <xf numFmtId="0" fontId="11" fillId="0" borderId="5" xfId="0" applyFont="1" applyBorder="1" applyAlignment="1">
      <alignment vertical="center" wrapText="1"/>
    </xf>
    <xf numFmtId="0" fontId="14" fillId="19" borderId="21" xfId="0" applyFont="1" applyFill="1" applyBorder="1" applyAlignment="1">
      <alignment horizontal="center" vertical="center" wrapText="1"/>
    </xf>
    <xf numFmtId="0" fontId="14" fillId="19" borderId="16" xfId="0" applyFont="1" applyFill="1" applyBorder="1" applyAlignment="1">
      <alignment horizontal="center" vertical="center" wrapText="1"/>
    </xf>
    <xf numFmtId="0" fontId="14" fillId="19" borderId="17" xfId="0" applyFont="1" applyFill="1" applyBorder="1" applyAlignment="1">
      <alignment horizontal="center" vertical="center" wrapText="1"/>
    </xf>
    <xf numFmtId="0" fontId="14" fillId="19" borderId="22" xfId="0" applyFont="1" applyFill="1" applyBorder="1" applyAlignment="1">
      <alignment horizontal="center" vertical="center" wrapText="1"/>
    </xf>
    <xf numFmtId="0" fontId="14" fillId="19" borderId="0" xfId="0" applyFont="1" applyFill="1" applyBorder="1" applyAlignment="1">
      <alignment horizontal="center" vertical="center" wrapText="1"/>
    </xf>
    <xf numFmtId="0" fontId="14" fillId="19" borderId="18" xfId="0" applyFont="1" applyFill="1" applyBorder="1" applyAlignment="1">
      <alignment horizontal="center" vertical="center" wrapText="1"/>
    </xf>
    <xf numFmtId="0" fontId="14" fillId="19" borderId="23" xfId="0" applyFont="1" applyFill="1" applyBorder="1" applyAlignment="1">
      <alignment horizontal="center" vertical="center" wrapText="1"/>
    </xf>
    <xf numFmtId="0" fontId="14" fillId="19" borderId="19" xfId="0" applyFont="1" applyFill="1" applyBorder="1" applyAlignment="1">
      <alignment horizontal="center" vertical="center" wrapText="1"/>
    </xf>
    <xf numFmtId="0" fontId="14" fillId="19" borderId="20" xfId="0" applyFont="1" applyFill="1" applyBorder="1" applyAlignment="1">
      <alignment horizontal="center" vertical="center" wrapText="1"/>
    </xf>
    <xf numFmtId="0" fontId="11" fillId="0" borderId="22" xfId="0" applyFont="1" applyBorder="1" applyAlignment="1">
      <alignment vertical="center" wrapText="1"/>
    </xf>
    <xf numFmtId="0" fontId="11" fillId="19" borderId="21" xfId="0" applyFont="1" applyFill="1" applyBorder="1" applyAlignment="1">
      <alignment vertical="center" wrapText="1"/>
    </xf>
    <xf numFmtId="0" fontId="11" fillId="19" borderId="16" xfId="0" applyFont="1" applyFill="1" applyBorder="1" applyAlignment="1">
      <alignment vertical="center" wrapText="1"/>
    </xf>
    <xf numFmtId="0" fontId="11" fillId="19" borderId="17" xfId="0" applyFont="1" applyFill="1" applyBorder="1" applyAlignment="1">
      <alignment vertical="center" wrapText="1"/>
    </xf>
    <xf numFmtId="0" fontId="11" fillId="19" borderId="23" xfId="0" applyFont="1" applyFill="1" applyBorder="1" applyAlignment="1">
      <alignment vertical="center" wrapText="1"/>
    </xf>
    <xf numFmtId="0" fontId="11" fillId="19" borderId="19" xfId="0" applyFont="1" applyFill="1" applyBorder="1" applyAlignment="1">
      <alignment vertical="center" wrapText="1"/>
    </xf>
    <xf numFmtId="0" fontId="11" fillId="19" borderId="20" xfId="0" applyFont="1" applyFill="1" applyBorder="1" applyAlignment="1">
      <alignment vertical="center" wrapText="1"/>
    </xf>
    <xf numFmtId="0" fontId="11" fillId="21" borderId="13" xfId="0" applyFont="1" applyFill="1" applyBorder="1" applyAlignment="1">
      <alignment vertical="center" wrapText="1"/>
    </xf>
    <xf numFmtId="0" fontId="11" fillId="21" borderId="15" xfId="0" applyFont="1" applyFill="1" applyBorder="1" applyAlignment="1">
      <alignment vertical="center" wrapText="1"/>
    </xf>
    <xf numFmtId="0" fontId="18" fillId="10" borderId="13" xfId="0" applyFont="1" applyFill="1" applyBorder="1" applyAlignment="1">
      <alignment horizontal="center" vertical="center" wrapText="1"/>
    </xf>
    <xf numFmtId="0" fontId="18" fillId="10" borderId="14" xfId="0" applyFont="1" applyFill="1" applyBorder="1" applyAlignment="1">
      <alignment horizontal="center" vertical="center" wrapText="1"/>
    </xf>
    <xf numFmtId="0" fontId="18" fillId="10" borderId="21"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wrapText="1"/>
    </xf>
    <xf numFmtId="0" fontId="18" fillId="10" borderId="23" xfId="0" applyFont="1" applyFill="1" applyBorder="1" applyAlignment="1">
      <alignment horizontal="center" vertical="center" wrapText="1"/>
    </xf>
    <xf numFmtId="0" fontId="18" fillId="10" borderId="19" xfId="0" applyFont="1" applyFill="1" applyBorder="1" applyAlignment="1">
      <alignment horizontal="center" vertical="center" wrapText="1"/>
    </xf>
    <xf numFmtId="0" fontId="18" fillId="10" borderId="20" xfId="0" applyFont="1" applyFill="1" applyBorder="1" applyAlignment="1">
      <alignment horizontal="center" vertical="center" wrapText="1"/>
    </xf>
    <xf numFmtId="0" fontId="18" fillId="10" borderId="22" xfId="0" applyFont="1" applyFill="1" applyBorder="1" applyAlignment="1">
      <alignment horizontal="center" vertical="center" wrapText="1"/>
    </xf>
    <xf numFmtId="0" fontId="18" fillId="10" borderId="18" xfId="0" applyFont="1" applyFill="1" applyBorder="1" applyAlignment="1">
      <alignment horizontal="center" vertical="center" wrapText="1"/>
    </xf>
    <xf numFmtId="0" fontId="13" fillId="20" borderId="6" xfId="0" applyFont="1" applyFill="1" applyBorder="1" applyAlignment="1">
      <alignment vertical="center" wrapText="1"/>
    </xf>
    <xf numFmtId="0" fontId="11" fillId="0" borderId="7" xfId="0" applyFont="1" applyBorder="1" applyAlignment="1">
      <alignment horizontal="left" vertical="center" wrapText="1"/>
    </xf>
    <xf numFmtId="0" fontId="17" fillId="0" borderId="7" xfId="0" applyFont="1" applyBorder="1" applyAlignment="1">
      <alignment horizontal="left" vertical="center" wrapText="1"/>
    </xf>
    <xf numFmtId="0" fontId="17"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4" xfId="0" applyFont="1" applyBorder="1" applyAlignment="1">
      <alignment horizontal="center" vertical="center" wrapText="1"/>
    </xf>
    <xf numFmtId="0" fontId="16" fillId="11" borderId="4" xfId="0" applyFont="1" applyFill="1" applyBorder="1" applyAlignment="1">
      <alignment horizontal="center" vertical="center" wrapText="1"/>
    </xf>
    <xf numFmtId="0" fontId="16" fillId="11" borderId="7" xfId="0" applyFont="1" applyFill="1" applyBorder="1" applyAlignment="1">
      <alignment horizontal="center" vertical="center" wrapText="1"/>
    </xf>
    <xf numFmtId="0" fontId="11" fillId="0" borderId="4" xfId="0" applyFont="1" applyBorder="1" applyAlignment="1">
      <alignment vertical="center" wrapText="1"/>
    </xf>
    <xf numFmtId="0" fontId="11" fillId="0" borderId="11" xfId="0" applyFont="1" applyBorder="1" applyAlignment="1">
      <alignment vertical="center" wrapText="1"/>
    </xf>
    <xf numFmtId="0" fontId="11" fillId="0" borderId="4" xfId="0" applyFont="1" applyBorder="1" applyAlignment="1">
      <alignment horizontal="left" vertical="center" wrapText="1"/>
    </xf>
    <xf numFmtId="0" fontId="13" fillId="20" borderId="3" xfId="0" applyFont="1" applyFill="1" applyBorder="1" applyAlignment="1">
      <alignment vertical="center" wrapText="1"/>
    </xf>
    <xf numFmtId="0" fontId="17" fillId="0" borderId="4" xfId="0" applyFont="1" applyBorder="1" applyAlignment="1">
      <alignment horizontal="left" vertical="center" wrapText="1"/>
    </xf>
    <xf numFmtId="0" fontId="11" fillId="0" borderId="0" xfId="0" applyFont="1" applyBorder="1" applyAlignment="1">
      <alignment vertical="center" wrapText="1"/>
    </xf>
    <xf numFmtId="0" fontId="18" fillId="10" borderId="15" xfId="0" applyFont="1" applyFill="1" applyBorder="1" applyAlignment="1">
      <alignment horizontal="center" vertical="center" wrapText="1"/>
    </xf>
    <xf numFmtId="0" fontId="11" fillId="0" borderId="9" xfId="0" applyFont="1" applyBorder="1" applyAlignment="1">
      <alignment vertical="center" wrapText="1"/>
    </xf>
    <xf numFmtId="0" fontId="11" fillId="0" borderId="10" xfId="0" applyFont="1" applyBorder="1" applyAlignment="1">
      <alignment vertical="center" wrapText="1"/>
    </xf>
    <xf numFmtId="0" fontId="15" fillId="20" borderId="21" xfId="0" applyFont="1" applyFill="1" applyBorder="1" applyAlignment="1">
      <alignment horizontal="center" vertical="center"/>
    </xf>
    <xf numFmtId="0" fontId="15" fillId="20" borderId="22" xfId="0" applyFont="1" applyFill="1" applyBorder="1" applyAlignment="1">
      <alignment horizontal="center" vertical="center"/>
    </xf>
    <xf numFmtId="0" fontId="15" fillId="20" borderId="23" xfId="0" applyFont="1" applyFill="1" applyBorder="1" applyAlignment="1">
      <alignment horizontal="center" vertical="center"/>
    </xf>
    <xf numFmtId="0" fontId="3" fillId="2" borderId="4" xfId="1" applyFont="1" applyFill="1" applyBorder="1" applyAlignment="1">
      <alignment horizontal="center" vertical="center" wrapText="1"/>
    </xf>
    <xf numFmtId="0" fontId="11" fillId="0" borderId="25" xfId="0" applyFont="1" applyBorder="1" applyAlignment="1">
      <alignment vertical="center" wrapText="1"/>
    </xf>
    <xf numFmtId="0" fontId="11" fillId="0" borderId="28" xfId="0" applyFont="1" applyBorder="1" applyAlignment="1">
      <alignment vertical="center" wrapText="1"/>
    </xf>
    <xf numFmtId="0" fontId="11" fillId="0" borderId="29" xfId="0" applyFont="1" applyBorder="1" applyAlignment="1">
      <alignment vertical="center" wrapText="1"/>
    </xf>
    <xf numFmtId="0" fontId="11" fillId="0" borderId="31" xfId="0" applyFont="1" applyBorder="1" applyAlignment="1">
      <alignment vertical="center" wrapText="1"/>
    </xf>
  </cellXfs>
  <cellStyles count="2">
    <cellStyle name="Normal" xfId="0" builtinId="0"/>
    <cellStyle name="Normal 2" xfId="1"/>
  </cellStyles>
  <dxfs count="0"/>
  <tableStyles count="0" defaultTableStyle="TableStyleMedium2" defaultPivotStyle="PivotStyleLight16"/>
  <colors>
    <mruColors>
      <color rgb="FF99CC00"/>
      <color rgb="FFC0E0FF"/>
      <color rgb="FF008000"/>
      <color rgb="FFFFFF99"/>
      <color rgb="FFFF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304800</xdr:colOff>
          <xdr:row>0</xdr:row>
          <xdr:rowOff>0</xdr:rowOff>
        </xdr:from>
        <xdr:to>
          <xdr:col>21</xdr:col>
          <xdr:colOff>180974</xdr:colOff>
          <xdr:row>14</xdr:row>
          <xdr:rowOff>142875</xdr:rowOff>
        </xdr:to>
        <xdr:pic>
          <xdr:nvPicPr>
            <xdr:cNvPr id="4" name="Image 3"/>
            <xdr:cNvPicPr>
              <a:picLocks noChangeAspect="1" noChangeArrowheads="1"/>
              <a:extLst>
                <a:ext uri="{84589F7E-364E-4C9E-8A38-B11213B215E9}">
                  <a14:cameraTool cellRange="GRV!$B$3:$D$13" spid="_x0000_s5139"/>
                </a:ext>
              </a:extLst>
            </xdr:cNvPicPr>
          </xdr:nvPicPr>
          <xdr:blipFill>
            <a:blip xmlns:r="http://schemas.openxmlformats.org/officeDocument/2006/relationships" r:embed="rId1"/>
            <a:srcRect/>
            <a:stretch>
              <a:fillRect/>
            </a:stretch>
          </xdr:blipFill>
          <xdr:spPr bwMode="auto">
            <a:xfrm>
              <a:off x="13315950" y="0"/>
              <a:ext cx="5581649" cy="3619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13</xdr:col>
      <xdr:colOff>295275</xdr:colOff>
      <xdr:row>14</xdr:row>
      <xdr:rowOff>161925</xdr:rowOff>
    </xdr:from>
    <xdr:to>
      <xdr:col>21</xdr:col>
      <xdr:colOff>123826</xdr:colOff>
      <xdr:row>19</xdr:row>
      <xdr:rowOff>66675</xdr:rowOff>
    </xdr:to>
    <xdr:pic>
      <xdr:nvPicPr>
        <xdr:cNvPr id="7" name="Imag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06425" y="3638550"/>
          <a:ext cx="5534026" cy="2076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285750</xdr:colOff>
      <xdr:row>19</xdr:row>
      <xdr:rowOff>133350</xdr:rowOff>
    </xdr:from>
    <xdr:to>
      <xdr:col>21</xdr:col>
      <xdr:colOff>161925</xdr:colOff>
      <xdr:row>28</xdr:row>
      <xdr:rowOff>95250</xdr:rowOff>
    </xdr:to>
    <xdr:pic>
      <xdr:nvPicPr>
        <xdr:cNvPr id="9" name="Image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296900" y="5781675"/>
          <a:ext cx="5581650"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fmeainfocentre.com/docs/6SIGMA/CLASS/gb%20datafiles/DFSS/Analys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5"/>
  <sheetViews>
    <sheetView showGridLines="0" tabSelected="1" view="pageBreakPreview" zoomScaleNormal="100" zoomScaleSheetLayoutView="100" workbookViewId="0">
      <selection activeCell="D16" sqref="D16:D18"/>
    </sheetView>
  </sheetViews>
  <sheetFormatPr baseColWidth="10" defaultRowHeight="12.75" x14ac:dyDescent="0.2"/>
  <cols>
    <col min="1" max="1" width="15.42578125" customWidth="1"/>
    <col min="2" max="2" width="17.7109375" customWidth="1"/>
    <col min="3" max="3" width="17.140625" customWidth="1"/>
    <col min="4" max="4" width="17.85546875" customWidth="1"/>
    <col min="5" max="5" width="17.28515625" customWidth="1"/>
    <col min="6" max="6" width="12.7109375" customWidth="1"/>
    <col min="13" max="13" width="28.42578125" customWidth="1"/>
    <col min="14" max="14" width="5.5703125" customWidth="1"/>
  </cols>
  <sheetData>
    <row r="1" spans="1:14" ht="13.5" thickBot="1" x14ac:dyDescent="0.25"/>
    <row r="2" spans="1:14" ht="12.75" customHeight="1" x14ac:dyDescent="0.2">
      <c r="A2" s="85" t="s">
        <v>59</v>
      </c>
      <c r="B2" s="87"/>
      <c r="C2" s="85" t="s">
        <v>60</v>
      </c>
      <c r="D2" s="86"/>
      <c r="E2" s="86"/>
      <c r="F2" s="86"/>
      <c r="G2" s="86"/>
      <c r="H2" s="86"/>
      <c r="I2" s="86"/>
      <c r="J2" s="86"/>
      <c r="K2" s="86"/>
      <c r="L2" s="87"/>
      <c r="M2" s="62" t="s">
        <v>97</v>
      </c>
      <c r="N2" s="94"/>
    </row>
    <row r="3" spans="1:14" ht="12.75" customHeight="1" x14ac:dyDescent="0.2">
      <c r="A3" s="88"/>
      <c r="B3" s="90"/>
      <c r="C3" s="88"/>
      <c r="D3" s="89"/>
      <c r="E3" s="89"/>
      <c r="F3" s="89"/>
      <c r="G3" s="89"/>
      <c r="H3" s="89"/>
      <c r="I3" s="89"/>
      <c r="J3" s="89"/>
      <c r="K3" s="89"/>
      <c r="L3" s="90"/>
      <c r="M3" s="63" t="s">
        <v>61</v>
      </c>
      <c r="N3" s="94"/>
    </row>
    <row r="4" spans="1:14" ht="13.5" customHeight="1" thickBot="1" x14ac:dyDescent="0.25">
      <c r="A4" s="88"/>
      <c r="B4" s="90"/>
      <c r="C4" s="91"/>
      <c r="D4" s="92"/>
      <c r="E4" s="92"/>
      <c r="F4" s="92"/>
      <c r="G4" s="92"/>
      <c r="H4" s="92"/>
      <c r="I4" s="92"/>
      <c r="J4" s="92"/>
      <c r="K4" s="92"/>
      <c r="L4" s="93"/>
      <c r="M4" s="64" t="s">
        <v>62</v>
      </c>
      <c r="N4" s="94"/>
    </row>
    <row r="5" spans="1:14" ht="18.75" customHeight="1" x14ac:dyDescent="0.2">
      <c r="A5" s="88"/>
      <c r="B5" s="90"/>
      <c r="C5" s="95" t="s">
        <v>98</v>
      </c>
      <c r="D5" s="96"/>
      <c r="E5" s="97"/>
      <c r="F5" s="95" t="s">
        <v>89</v>
      </c>
      <c r="G5" s="97"/>
      <c r="H5" s="95" t="s">
        <v>96</v>
      </c>
      <c r="I5" s="96"/>
      <c r="J5" s="96"/>
      <c r="K5" s="96"/>
      <c r="L5" s="97"/>
      <c r="M5" s="101" t="s">
        <v>64</v>
      </c>
      <c r="N5" s="94"/>
    </row>
    <row r="6" spans="1:14" ht="18.75" customHeight="1" thickBot="1" x14ac:dyDescent="0.25">
      <c r="A6" s="91"/>
      <c r="B6" s="93"/>
      <c r="C6" s="98" t="s">
        <v>95</v>
      </c>
      <c r="D6" s="99"/>
      <c r="E6" s="100"/>
      <c r="F6" s="98" t="s">
        <v>63</v>
      </c>
      <c r="G6" s="100"/>
      <c r="H6" s="98" t="s">
        <v>88</v>
      </c>
      <c r="I6" s="99"/>
      <c r="J6" s="99"/>
      <c r="K6" s="99"/>
      <c r="L6" s="100"/>
      <c r="M6" s="102"/>
      <c r="N6" s="94"/>
    </row>
    <row r="7" spans="1:14" x14ac:dyDescent="0.2">
      <c r="A7" s="103" t="s">
        <v>87</v>
      </c>
      <c r="B7" s="103" t="s">
        <v>65</v>
      </c>
      <c r="C7" s="103" t="s">
        <v>51</v>
      </c>
      <c r="D7" s="60" t="s">
        <v>66</v>
      </c>
      <c r="E7" s="103" t="s">
        <v>69</v>
      </c>
      <c r="F7" s="103" t="s">
        <v>57</v>
      </c>
      <c r="G7" s="103" t="s">
        <v>48</v>
      </c>
      <c r="H7" s="105" t="s">
        <v>55</v>
      </c>
      <c r="I7" s="106"/>
      <c r="J7" s="106"/>
      <c r="K7" s="107"/>
      <c r="L7" s="105" t="s">
        <v>70</v>
      </c>
      <c r="M7" s="107"/>
      <c r="N7" s="94"/>
    </row>
    <row r="8" spans="1:14" ht="13.5" thickBot="1" x14ac:dyDescent="0.25">
      <c r="A8" s="104"/>
      <c r="B8" s="104"/>
      <c r="C8" s="104"/>
      <c r="D8" s="60" t="s">
        <v>67</v>
      </c>
      <c r="E8" s="104"/>
      <c r="F8" s="104"/>
      <c r="G8" s="104"/>
      <c r="H8" s="108"/>
      <c r="I8" s="109"/>
      <c r="J8" s="109"/>
      <c r="K8" s="110"/>
      <c r="L8" s="111"/>
      <c r="M8" s="112"/>
      <c r="N8" s="94"/>
    </row>
    <row r="9" spans="1:14" ht="26.25" customHeight="1" thickBot="1" x14ac:dyDescent="0.25">
      <c r="A9" s="127"/>
      <c r="B9" s="104"/>
      <c r="C9" s="104"/>
      <c r="D9" s="60" t="s">
        <v>68</v>
      </c>
      <c r="E9" s="104"/>
      <c r="F9" s="104"/>
      <c r="G9" s="104"/>
      <c r="H9" s="60" t="s">
        <v>71</v>
      </c>
      <c r="I9" s="60" t="s">
        <v>72</v>
      </c>
      <c r="J9" s="60" t="s">
        <v>73</v>
      </c>
      <c r="K9" s="60" t="s">
        <v>74</v>
      </c>
      <c r="L9" s="111"/>
      <c r="M9" s="112"/>
      <c r="N9" s="59"/>
    </row>
    <row r="10" spans="1:14" ht="26.25" customHeight="1" x14ac:dyDescent="0.2">
      <c r="A10" s="130" t="s">
        <v>85</v>
      </c>
      <c r="B10" s="124" t="s">
        <v>99</v>
      </c>
      <c r="C10" s="121" t="s">
        <v>104</v>
      </c>
      <c r="D10" s="123" t="s">
        <v>102</v>
      </c>
      <c r="E10" s="69" t="s">
        <v>77</v>
      </c>
      <c r="F10" s="125" t="s">
        <v>118</v>
      </c>
      <c r="G10" s="70" t="s">
        <v>75</v>
      </c>
      <c r="H10" s="118">
        <v>3</v>
      </c>
      <c r="I10" s="118">
        <v>7</v>
      </c>
      <c r="J10" s="118">
        <v>5</v>
      </c>
      <c r="K10" s="119">
        <f>H10*I10*J10</f>
        <v>105</v>
      </c>
      <c r="L10" s="121" t="s">
        <v>103</v>
      </c>
      <c r="M10" s="122"/>
      <c r="N10" s="59"/>
    </row>
    <row r="11" spans="1:14" ht="26.25" customHeight="1" x14ac:dyDescent="0.2">
      <c r="A11" s="131"/>
      <c r="B11" s="113"/>
      <c r="C11" s="83"/>
      <c r="D11" s="114"/>
      <c r="E11" s="66" t="s">
        <v>78</v>
      </c>
      <c r="F11" s="115"/>
      <c r="G11" s="116" t="s">
        <v>80</v>
      </c>
      <c r="H11" s="117"/>
      <c r="I11" s="117"/>
      <c r="J11" s="117"/>
      <c r="K11" s="120"/>
      <c r="L11" s="83"/>
      <c r="M11" s="84"/>
      <c r="N11" s="59"/>
    </row>
    <row r="12" spans="1:14" ht="26.25" customHeight="1" x14ac:dyDescent="0.2">
      <c r="A12" s="131"/>
      <c r="B12" s="113"/>
      <c r="C12" s="83"/>
      <c r="D12" s="114"/>
      <c r="E12" s="66" t="s">
        <v>79</v>
      </c>
      <c r="F12" s="115"/>
      <c r="G12" s="116"/>
      <c r="H12" s="117"/>
      <c r="I12" s="117"/>
      <c r="J12" s="117"/>
      <c r="K12" s="120"/>
      <c r="L12" s="83"/>
      <c r="M12" s="84"/>
      <c r="N12" s="59"/>
    </row>
    <row r="13" spans="1:14" ht="26.25" customHeight="1" x14ac:dyDescent="0.2">
      <c r="A13" s="131"/>
      <c r="B13" s="113" t="s">
        <v>105</v>
      </c>
      <c r="C13" s="83" t="s">
        <v>100</v>
      </c>
      <c r="D13" s="114" t="s">
        <v>101</v>
      </c>
      <c r="E13" s="66" t="s">
        <v>77</v>
      </c>
      <c r="F13" s="115" t="s">
        <v>119</v>
      </c>
      <c r="G13" s="116" t="s">
        <v>75</v>
      </c>
      <c r="H13" s="117">
        <v>3</v>
      </c>
      <c r="I13" s="117">
        <v>6</v>
      </c>
      <c r="J13" s="117">
        <v>5</v>
      </c>
      <c r="K13" s="120">
        <f>H13*I13*J13</f>
        <v>90</v>
      </c>
      <c r="L13" s="83" t="s">
        <v>92</v>
      </c>
      <c r="M13" s="84"/>
      <c r="N13" s="126"/>
    </row>
    <row r="14" spans="1:14" ht="26.25" customHeight="1" x14ac:dyDescent="0.2">
      <c r="A14" s="131"/>
      <c r="B14" s="113"/>
      <c r="C14" s="83"/>
      <c r="D14" s="114"/>
      <c r="E14" s="66" t="s">
        <v>78</v>
      </c>
      <c r="F14" s="115"/>
      <c r="G14" s="116"/>
      <c r="H14" s="117"/>
      <c r="I14" s="117"/>
      <c r="J14" s="117"/>
      <c r="K14" s="120"/>
      <c r="L14" s="83" t="s">
        <v>93</v>
      </c>
      <c r="M14" s="84"/>
      <c r="N14" s="126"/>
    </row>
    <row r="15" spans="1:14" ht="26.25" customHeight="1" x14ac:dyDescent="0.2">
      <c r="A15" s="131"/>
      <c r="B15" s="113"/>
      <c r="C15" s="83"/>
      <c r="D15" s="114"/>
      <c r="E15" s="66" t="s">
        <v>79</v>
      </c>
      <c r="F15" s="115"/>
      <c r="G15" s="116"/>
      <c r="H15" s="117"/>
      <c r="I15" s="117"/>
      <c r="J15" s="117"/>
      <c r="K15" s="120"/>
      <c r="L15" s="83" t="s">
        <v>90</v>
      </c>
      <c r="M15" s="84"/>
      <c r="N15" s="126"/>
    </row>
    <row r="16" spans="1:14" ht="26.25" customHeight="1" x14ac:dyDescent="0.2">
      <c r="A16" s="131"/>
      <c r="B16" s="113" t="s">
        <v>106</v>
      </c>
      <c r="C16" s="83" t="s">
        <v>117</v>
      </c>
      <c r="D16" s="114" t="s">
        <v>101</v>
      </c>
      <c r="E16" s="66" t="s">
        <v>77</v>
      </c>
      <c r="F16" s="115" t="s">
        <v>81</v>
      </c>
      <c r="G16" s="116" t="s">
        <v>75</v>
      </c>
      <c r="H16" s="117">
        <v>3</v>
      </c>
      <c r="I16" s="117">
        <v>6</v>
      </c>
      <c r="J16" s="117">
        <v>5</v>
      </c>
      <c r="K16" s="120">
        <f>H16*I16*J16</f>
        <v>90</v>
      </c>
      <c r="L16" s="83" t="s">
        <v>92</v>
      </c>
      <c r="M16" s="84"/>
      <c r="N16" s="126"/>
    </row>
    <row r="17" spans="1:14" ht="26.25" customHeight="1" x14ac:dyDescent="0.2">
      <c r="A17" s="131"/>
      <c r="B17" s="113"/>
      <c r="C17" s="83"/>
      <c r="D17" s="114"/>
      <c r="E17" s="66" t="s">
        <v>78</v>
      </c>
      <c r="F17" s="115"/>
      <c r="G17" s="116"/>
      <c r="H17" s="117"/>
      <c r="I17" s="117"/>
      <c r="J17" s="117"/>
      <c r="K17" s="120"/>
      <c r="L17" s="83" t="s">
        <v>93</v>
      </c>
      <c r="M17" s="84"/>
      <c r="N17" s="126"/>
    </row>
    <row r="18" spans="1:14" ht="26.25" customHeight="1" x14ac:dyDescent="0.2">
      <c r="A18" s="131"/>
      <c r="B18" s="113"/>
      <c r="C18" s="83"/>
      <c r="D18" s="114"/>
      <c r="E18" s="66" t="s">
        <v>79</v>
      </c>
      <c r="F18" s="115"/>
      <c r="G18" s="116"/>
      <c r="H18" s="117"/>
      <c r="I18" s="117"/>
      <c r="J18" s="117"/>
      <c r="K18" s="120"/>
      <c r="L18" s="83" t="s">
        <v>90</v>
      </c>
      <c r="M18" s="84"/>
      <c r="N18" s="126"/>
    </row>
    <row r="19" spans="1:14" ht="66" customHeight="1" x14ac:dyDescent="0.2">
      <c r="A19" s="131"/>
      <c r="B19" s="61" t="s">
        <v>107</v>
      </c>
      <c r="C19" s="77" t="s">
        <v>116</v>
      </c>
      <c r="D19" s="66" t="s">
        <v>84</v>
      </c>
      <c r="E19" s="66" t="s">
        <v>110</v>
      </c>
      <c r="F19" s="65"/>
      <c r="G19" s="71" t="s">
        <v>75</v>
      </c>
      <c r="H19" s="73">
        <v>2</v>
      </c>
      <c r="I19" s="73">
        <v>8</v>
      </c>
      <c r="J19" s="73">
        <v>7</v>
      </c>
      <c r="K19" s="75">
        <f>H19*I19*J19</f>
        <v>112</v>
      </c>
      <c r="L19" s="83" t="s">
        <v>91</v>
      </c>
      <c r="M19" s="84"/>
      <c r="N19" s="59"/>
    </row>
    <row r="20" spans="1:14" ht="30" customHeight="1" x14ac:dyDescent="0.2">
      <c r="A20" s="131"/>
      <c r="B20" s="79" t="s">
        <v>108</v>
      </c>
      <c r="C20" s="134" t="s">
        <v>115</v>
      </c>
      <c r="D20" s="66" t="s">
        <v>86</v>
      </c>
      <c r="E20" s="66"/>
      <c r="F20" s="65" t="s">
        <v>83</v>
      </c>
      <c r="G20" s="71" t="s">
        <v>76</v>
      </c>
      <c r="H20" s="73">
        <v>3</v>
      </c>
      <c r="I20" s="73">
        <v>6</v>
      </c>
      <c r="J20" s="73">
        <v>5</v>
      </c>
      <c r="K20" s="75">
        <v>90</v>
      </c>
      <c r="L20" s="83" t="s">
        <v>91</v>
      </c>
      <c r="M20" s="84"/>
      <c r="N20" s="59"/>
    </row>
    <row r="21" spans="1:14" ht="30" customHeight="1" x14ac:dyDescent="0.2">
      <c r="A21" s="131"/>
      <c r="B21" s="80"/>
      <c r="C21" s="135"/>
      <c r="D21" s="66" t="s">
        <v>112</v>
      </c>
      <c r="E21" s="66"/>
      <c r="F21" s="65" t="s">
        <v>119</v>
      </c>
      <c r="G21" s="71" t="s">
        <v>75</v>
      </c>
      <c r="H21" s="73">
        <v>2</v>
      </c>
      <c r="I21" s="73">
        <v>8</v>
      </c>
      <c r="J21" s="73">
        <v>7</v>
      </c>
      <c r="K21" s="75">
        <f>H21*I21*J21</f>
        <v>112</v>
      </c>
      <c r="L21" s="83" t="s">
        <v>91</v>
      </c>
      <c r="M21" s="84"/>
      <c r="N21" s="59"/>
    </row>
    <row r="22" spans="1:14" ht="30" customHeight="1" x14ac:dyDescent="0.2">
      <c r="A22" s="131"/>
      <c r="B22" s="81"/>
      <c r="C22" s="136"/>
      <c r="D22" s="66" t="s">
        <v>84</v>
      </c>
      <c r="E22" s="66" t="s">
        <v>82</v>
      </c>
      <c r="F22" s="65" t="s">
        <v>83</v>
      </c>
      <c r="G22" s="71" t="s">
        <v>76</v>
      </c>
      <c r="H22" s="73">
        <v>2</v>
      </c>
      <c r="I22" s="73">
        <v>3</v>
      </c>
      <c r="J22" s="73">
        <v>7</v>
      </c>
      <c r="K22" s="76">
        <f>H22*I22*J22</f>
        <v>42</v>
      </c>
      <c r="L22" s="83" t="s">
        <v>94</v>
      </c>
      <c r="M22" s="84"/>
      <c r="N22" s="59"/>
    </row>
    <row r="23" spans="1:14" ht="30" customHeight="1" x14ac:dyDescent="0.2">
      <c r="A23" s="131"/>
      <c r="B23" s="79" t="s">
        <v>109</v>
      </c>
      <c r="C23" s="134" t="s">
        <v>111</v>
      </c>
      <c r="D23" s="66" t="s">
        <v>86</v>
      </c>
      <c r="E23" s="66" t="s">
        <v>114</v>
      </c>
      <c r="F23" s="65" t="s">
        <v>83</v>
      </c>
      <c r="G23" s="71" t="s">
        <v>76</v>
      </c>
      <c r="H23" s="73">
        <v>2</v>
      </c>
      <c r="I23" s="73">
        <v>3</v>
      </c>
      <c r="J23" s="73">
        <v>7</v>
      </c>
      <c r="K23" s="76">
        <f t="shared" ref="K23:K24" si="0">H23*I23*J23</f>
        <v>42</v>
      </c>
      <c r="L23" s="83" t="s">
        <v>91</v>
      </c>
      <c r="M23" s="84"/>
      <c r="N23" s="59"/>
    </row>
    <row r="24" spans="1:14" ht="30" customHeight="1" x14ac:dyDescent="0.2">
      <c r="A24" s="131"/>
      <c r="B24" s="80"/>
      <c r="C24" s="135"/>
      <c r="D24" s="66" t="s">
        <v>112</v>
      </c>
      <c r="E24" s="66" t="s">
        <v>82</v>
      </c>
      <c r="F24" s="65" t="s">
        <v>119</v>
      </c>
      <c r="G24" s="71" t="s">
        <v>75</v>
      </c>
      <c r="H24" s="73">
        <v>2</v>
      </c>
      <c r="I24" s="73">
        <v>3</v>
      </c>
      <c r="J24" s="73">
        <v>7</v>
      </c>
      <c r="K24" s="76">
        <f t="shared" si="0"/>
        <v>42</v>
      </c>
      <c r="L24" s="83" t="s">
        <v>91</v>
      </c>
      <c r="M24" s="84"/>
      <c r="N24" s="59"/>
    </row>
    <row r="25" spans="1:14" ht="30" customHeight="1" thickBot="1" x14ac:dyDescent="0.25">
      <c r="A25" s="132"/>
      <c r="B25" s="82"/>
      <c r="C25" s="137"/>
      <c r="D25" s="68" t="s">
        <v>84</v>
      </c>
      <c r="E25" s="68" t="s">
        <v>113</v>
      </c>
      <c r="F25" s="67"/>
      <c r="G25" s="72" t="s">
        <v>75</v>
      </c>
      <c r="H25" s="74">
        <v>3</v>
      </c>
      <c r="I25" s="74">
        <v>1</v>
      </c>
      <c r="J25" s="74">
        <v>3</v>
      </c>
      <c r="K25" s="78">
        <f>H25*I25*J25</f>
        <v>9</v>
      </c>
      <c r="L25" s="128" t="s">
        <v>94</v>
      </c>
      <c r="M25" s="129"/>
      <c r="N25" s="59"/>
    </row>
  </sheetData>
  <mergeCells count="68">
    <mergeCell ref="L16:M16"/>
    <mergeCell ref="L18:M18"/>
    <mergeCell ref="L17:M17"/>
    <mergeCell ref="A7:A9"/>
    <mergeCell ref="A2:B6"/>
    <mergeCell ref="A10:A25"/>
    <mergeCell ref="G11:G12"/>
    <mergeCell ref="B16:B18"/>
    <mergeCell ref="C16:C18"/>
    <mergeCell ref="D16:D18"/>
    <mergeCell ref="F16:F18"/>
    <mergeCell ref="G16:G18"/>
    <mergeCell ref="F10:F12"/>
    <mergeCell ref="I10:I12"/>
    <mergeCell ref="N16:N18"/>
    <mergeCell ref="L19:M19"/>
    <mergeCell ref="L22:M22"/>
    <mergeCell ref="N13:N15"/>
    <mergeCell ref="H16:H18"/>
    <mergeCell ref="I16:I18"/>
    <mergeCell ref="J16:J18"/>
    <mergeCell ref="K16:K18"/>
    <mergeCell ref="I13:I15"/>
    <mergeCell ref="J13:J15"/>
    <mergeCell ref="K13:K15"/>
    <mergeCell ref="L13:M13"/>
    <mergeCell ref="L14:M14"/>
    <mergeCell ref="L15:M15"/>
    <mergeCell ref="H7:K8"/>
    <mergeCell ref="L7:M9"/>
    <mergeCell ref="N7:N8"/>
    <mergeCell ref="B13:B15"/>
    <mergeCell ref="C13:C15"/>
    <mergeCell ref="D13:D15"/>
    <mergeCell ref="F13:F15"/>
    <mergeCell ref="G13:G15"/>
    <mergeCell ref="H13:H15"/>
    <mergeCell ref="J10:J12"/>
    <mergeCell ref="K10:K12"/>
    <mergeCell ref="L10:M12"/>
    <mergeCell ref="D10:D12"/>
    <mergeCell ref="H10:H12"/>
    <mergeCell ref="B10:B12"/>
    <mergeCell ref="C10:C12"/>
    <mergeCell ref="B7:B9"/>
    <mergeCell ref="C7:C9"/>
    <mergeCell ref="E7:E9"/>
    <mergeCell ref="F7:F9"/>
    <mergeCell ref="G7:G9"/>
    <mergeCell ref="C2:L4"/>
    <mergeCell ref="N2:N4"/>
    <mergeCell ref="C5:E5"/>
    <mergeCell ref="C6:E6"/>
    <mergeCell ref="F5:G5"/>
    <mergeCell ref="F6:G6"/>
    <mergeCell ref="H5:L5"/>
    <mergeCell ref="H6:L6"/>
    <mergeCell ref="M5:M6"/>
    <mergeCell ref="N5:N6"/>
    <mergeCell ref="B20:B22"/>
    <mergeCell ref="B23:B25"/>
    <mergeCell ref="C23:C25"/>
    <mergeCell ref="C20:C22"/>
    <mergeCell ref="L20:M20"/>
    <mergeCell ref="L21:M21"/>
    <mergeCell ref="L25:M25"/>
    <mergeCell ref="L23:M23"/>
    <mergeCell ref="L24:M24"/>
  </mergeCells>
  <pageMargins left="0.7" right="0.7" top="0.75" bottom="0.75" header="0.3" footer="0.3"/>
  <pageSetup scale="31"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3"/>
  <sheetViews>
    <sheetView zoomScaleNormal="100" workbookViewId="0">
      <selection activeCell="B3" sqref="B3:D13"/>
    </sheetView>
  </sheetViews>
  <sheetFormatPr baseColWidth="10" defaultColWidth="9.140625" defaultRowHeight="12.75" x14ac:dyDescent="0.2"/>
  <cols>
    <col min="1" max="1" width="9.140625" style="35"/>
    <col min="2" max="2" width="13.5703125" style="35" customWidth="1"/>
    <col min="3" max="3" width="57.42578125" style="35" customWidth="1"/>
    <col min="4" max="4" width="14.140625" style="35" bestFit="1" customWidth="1"/>
    <col min="5" max="16384" width="9.140625" style="35"/>
  </cols>
  <sheetData>
    <row r="2" spans="2:4" ht="13.5" thickBot="1" x14ac:dyDescent="0.25"/>
    <row r="3" spans="2:4" ht="32.25" customHeight="1" x14ac:dyDescent="0.2">
      <c r="B3" s="36" t="s">
        <v>57</v>
      </c>
      <c r="C3" s="37" t="s">
        <v>0</v>
      </c>
      <c r="D3" s="38" t="s">
        <v>1</v>
      </c>
    </row>
    <row r="4" spans="2:4" ht="51" x14ac:dyDescent="0.2">
      <c r="B4" s="39" t="s">
        <v>2</v>
      </c>
      <c r="C4" s="40" t="s">
        <v>3</v>
      </c>
      <c r="D4" s="1">
        <v>10</v>
      </c>
    </row>
    <row r="5" spans="2:4" ht="38.25" x14ac:dyDescent="0.2">
      <c r="B5" s="39" t="s">
        <v>4</v>
      </c>
      <c r="C5" s="40" t="s">
        <v>5</v>
      </c>
      <c r="D5" s="1">
        <v>9</v>
      </c>
    </row>
    <row r="6" spans="2:4" ht="25.5" x14ac:dyDescent="0.2">
      <c r="B6" s="39" t="s">
        <v>6</v>
      </c>
      <c r="C6" s="40" t="s">
        <v>7</v>
      </c>
      <c r="D6" s="1">
        <v>8</v>
      </c>
    </row>
    <row r="7" spans="2:4" ht="25.5" x14ac:dyDescent="0.2">
      <c r="B7" s="39" t="s">
        <v>8</v>
      </c>
      <c r="C7" s="40" t="s">
        <v>9</v>
      </c>
      <c r="D7" s="1">
        <v>7</v>
      </c>
    </row>
    <row r="8" spans="2:4" ht="25.5" x14ac:dyDescent="0.2">
      <c r="B8" s="41" t="s">
        <v>10</v>
      </c>
      <c r="C8" s="42" t="s">
        <v>11</v>
      </c>
      <c r="D8" s="2">
        <v>6</v>
      </c>
    </row>
    <row r="9" spans="2:4" ht="25.5" x14ac:dyDescent="0.2">
      <c r="B9" s="41" t="s">
        <v>12</v>
      </c>
      <c r="C9" s="42" t="s">
        <v>13</v>
      </c>
      <c r="D9" s="2">
        <v>5</v>
      </c>
    </row>
    <row r="10" spans="2:4" ht="25.5" x14ac:dyDescent="0.2">
      <c r="B10" s="41" t="s">
        <v>14</v>
      </c>
      <c r="C10" s="42" t="s">
        <v>15</v>
      </c>
      <c r="D10" s="2">
        <v>4</v>
      </c>
    </row>
    <row r="11" spans="2:4" ht="25.5" x14ac:dyDescent="0.2">
      <c r="B11" s="41" t="s">
        <v>16</v>
      </c>
      <c r="C11" s="42" t="s">
        <v>17</v>
      </c>
      <c r="D11" s="2">
        <v>3</v>
      </c>
    </row>
    <row r="12" spans="2:4" ht="63.75" x14ac:dyDescent="0.2">
      <c r="B12" s="43" t="s">
        <v>18</v>
      </c>
      <c r="C12" s="44" t="s">
        <v>19</v>
      </c>
      <c r="D12" s="3">
        <v>2</v>
      </c>
    </row>
    <row r="13" spans="2:4" ht="51.75" thickBot="1" x14ac:dyDescent="0.25">
      <c r="B13" s="45" t="s">
        <v>56</v>
      </c>
      <c r="C13" s="46" t="s">
        <v>20</v>
      </c>
      <c r="D13"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3"/>
  <sheetViews>
    <sheetView workbookViewId="0">
      <selection activeCell="B3" sqref="B3:F13"/>
    </sheetView>
  </sheetViews>
  <sheetFormatPr baseColWidth="10" defaultColWidth="9.140625" defaultRowHeight="12.75" x14ac:dyDescent="0.2"/>
  <cols>
    <col min="1" max="1" width="9.140625" style="35"/>
    <col min="2" max="2" width="14.140625" style="35" bestFit="1" customWidth="1"/>
    <col min="3" max="3" width="46" style="35" bestFit="1" customWidth="1"/>
    <col min="4" max="4" width="34.140625" style="35" bestFit="1" customWidth="1"/>
    <col min="5" max="5" width="15" style="35" bestFit="1" customWidth="1"/>
    <col min="6" max="6" width="13.140625" style="35" customWidth="1"/>
    <col min="7" max="16384" width="9.140625" style="35"/>
  </cols>
  <sheetData>
    <row r="2" spans="2:6" ht="13.5" thickBot="1" x14ac:dyDescent="0.25"/>
    <row r="3" spans="2:6" ht="31.5" x14ac:dyDescent="0.2">
      <c r="B3" s="36" t="s">
        <v>1</v>
      </c>
      <c r="C3" s="133" t="s">
        <v>21</v>
      </c>
      <c r="D3" s="133"/>
      <c r="E3" s="133"/>
      <c r="F3" s="47" t="s">
        <v>22</v>
      </c>
    </row>
    <row r="4" spans="2:6" ht="15.75" x14ac:dyDescent="0.2">
      <c r="B4" s="48">
        <v>10</v>
      </c>
      <c r="C4" s="49" t="s">
        <v>23</v>
      </c>
      <c r="D4" s="5" t="s">
        <v>24</v>
      </c>
      <c r="E4" s="9" t="s">
        <v>25</v>
      </c>
      <c r="F4" s="14">
        <v>1</v>
      </c>
    </row>
    <row r="5" spans="2:6" ht="15.75" x14ac:dyDescent="0.2">
      <c r="B5" s="50">
        <v>9</v>
      </c>
      <c r="C5" s="49"/>
      <c r="D5" s="5" t="s">
        <v>26</v>
      </c>
      <c r="E5" s="9" t="s">
        <v>27</v>
      </c>
      <c r="F5" s="14">
        <v>8</v>
      </c>
    </row>
    <row r="6" spans="2:6" ht="15.75" x14ac:dyDescent="0.2">
      <c r="B6" s="51">
        <v>8</v>
      </c>
      <c r="C6" s="49" t="s">
        <v>28</v>
      </c>
      <c r="D6" s="5" t="s">
        <v>29</v>
      </c>
      <c r="E6" s="9" t="s">
        <v>30</v>
      </c>
      <c r="F6" s="14">
        <v>24</v>
      </c>
    </row>
    <row r="7" spans="2:6" ht="15.75" x14ac:dyDescent="0.2">
      <c r="B7" s="51">
        <v>7</v>
      </c>
      <c r="C7" s="49"/>
      <c r="D7" s="5" t="s">
        <v>31</v>
      </c>
      <c r="E7" s="9" t="s">
        <v>32</v>
      </c>
      <c r="F7" s="14">
        <v>80</v>
      </c>
    </row>
    <row r="8" spans="2:6" ht="15.75" x14ac:dyDescent="0.2">
      <c r="B8" s="52">
        <v>6</v>
      </c>
      <c r="C8" s="53" t="s">
        <v>33</v>
      </c>
      <c r="D8" s="6" t="s">
        <v>34</v>
      </c>
      <c r="E8" s="15" t="s">
        <v>35</v>
      </c>
      <c r="F8" s="16">
        <v>350</v>
      </c>
    </row>
    <row r="9" spans="2:6" ht="15.75" x14ac:dyDescent="0.2">
      <c r="B9" s="52">
        <v>5</v>
      </c>
      <c r="C9" s="53"/>
      <c r="D9" s="6" t="s">
        <v>36</v>
      </c>
      <c r="E9" s="15" t="s">
        <v>37</v>
      </c>
      <c r="F9" s="16">
        <v>1000</v>
      </c>
    </row>
    <row r="10" spans="2:6" ht="15.75" x14ac:dyDescent="0.2">
      <c r="B10" s="52">
        <v>4</v>
      </c>
      <c r="C10" s="53"/>
      <c r="D10" s="6" t="s">
        <v>38</v>
      </c>
      <c r="E10" s="15" t="s">
        <v>39</v>
      </c>
      <c r="F10" s="16">
        <v>2500</v>
      </c>
    </row>
    <row r="11" spans="2:6" ht="15.75" x14ac:dyDescent="0.2">
      <c r="B11" s="54">
        <v>3</v>
      </c>
      <c r="C11" s="55" t="s">
        <v>40</v>
      </c>
      <c r="D11" s="7" t="s">
        <v>41</v>
      </c>
      <c r="E11" s="10" t="s">
        <v>42</v>
      </c>
      <c r="F11" s="12">
        <v>5000</v>
      </c>
    </row>
    <row r="12" spans="2:6" ht="15.75" x14ac:dyDescent="0.2">
      <c r="B12" s="54">
        <v>2</v>
      </c>
      <c r="C12" s="56"/>
      <c r="D12" s="7" t="s">
        <v>43</v>
      </c>
      <c r="E12" s="10" t="s">
        <v>44</v>
      </c>
      <c r="F12" s="12">
        <v>10000</v>
      </c>
    </row>
    <row r="13" spans="2:6" ht="16.5" thickBot="1" x14ac:dyDescent="0.25">
      <c r="B13" s="57">
        <v>1</v>
      </c>
      <c r="C13" s="58" t="s">
        <v>45</v>
      </c>
      <c r="D13" s="8" t="s">
        <v>46</v>
      </c>
      <c r="E13" s="11" t="s">
        <v>47</v>
      </c>
      <c r="F13" s="13">
        <v>25000</v>
      </c>
    </row>
  </sheetData>
  <mergeCells count="1">
    <mergeCell ref="C3:E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8"/>
  <sheetViews>
    <sheetView zoomScale="90" zoomScaleNormal="90" workbookViewId="0">
      <selection activeCell="F18" sqref="F18"/>
    </sheetView>
  </sheetViews>
  <sheetFormatPr baseColWidth="10" defaultColWidth="9.140625" defaultRowHeight="12.75" x14ac:dyDescent="0.2"/>
  <cols>
    <col min="1" max="1" width="9.140625" style="35"/>
    <col min="2" max="2" width="14.140625" style="35" bestFit="1" customWidth="1"/>
    <col min="3" max="3" width="13.28515625" style="35" bestFit="1" customWidth="1"/>
    <col min="4" max="4" width="91.5703125" style="35" bestFit="1" customWidth="1"/>
    <col min="5" max="16384" width="9.140625" style="35"/>
  </cols>
  <sheetData>
    <row r="2" spans="2:4" ht="13.5" thickBot="1" x14ac:dyDescent="0.25"/>
    <row r="3" spans="2:4" ht="33.75" customHeight="1" thickBot="1" x14ac:dyDescent="0.25">
      <c r="B3" s="17" t="s">
        <v>1</v>
      </c>
      <c r="C3" s="18" t="s">
        <v>48</v>
      </c>
      <c r="D3" s="27" t="s">
        <v>49</v>
      </c>
    </row>
    <row r="4" spans="2:4" ht="30" x14ac:dyDescent="0.2">
      <c r="B4" s="28">
        <v>1</v>
      </c>
      <c r="C4" s="29" t="s">
        <v>6</v>
      </c>
      <c r="D4" s="30" t="s">
        <v>50</v>
      </c>
    </row>
    <row r="5" spans="2:4" ht="45" x14ac:dyDescent="0.2">
      <c r="B5" s="19">
        <v>3</v>
      </c>
      <c r="C5" s="20" t="s">
        <v>8</v>
      </c>
      <c r="D5" s="31" t="s">
        <v>53</v>
      </c>
    </row>
    <row r="6" spans="2:4" ht="45" x14ac:dyDescent="0.2">
      <c r="B6" s="21">
        <v>5</v>
      </c>
      <c r="C6" s="22" t="s">
        <v>10</v>
      </c>
      <c r="D6" s="32" t="s">
        <v>54</v>
      </c>
    </row>
    <row r="7" spans="2:4" ht="45" x14ac:dyDescent="0.2">
      <c r="B7" s="23">
        <v>7</v>
      </c>
      <c r="C7" s="24" t="s">
        <v>12</v>
      </c>
      <c r="D7" s="33" t="s">
        <v>58</v>
      </c>
    </row>
    <row r="8" spans="2:4" ht="45.75" thickBot="1" x14ac:dyDescent="0.25">
      <c r="B8" s="25">
        <v>10</v>
      </c>
      <c r="C8" s="26" t="s">
        <v>14</v>
      </c>
      <c r="D8" s="34"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AMDEC FOUR A SOUFRE</vt:lpstr>
      <vt:lpstr>GRV</vt:lpstr>
      <vt:lpstr>OCC</vt:lpstr>
      <vt:lpstr>DET</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OUBID Mounir</dc:creator>
  <cp:lastModifiedBy>OUBID Mounir</cp:lastModifiedBy>
  <cp:lastPrinted>2017-02-09T10:29:40Z</cp:lastPrinted>
  <dcterms:created xsi:type="dcterms:W3CDTF">2007-06-28T15:42:32Z</dcterms:created>
  <dcterms:modified xsi:type="dcterms:W3CDTF">2019-09-26T14:47:59Z</dcterms:modified>
</cp:coreProperties>
</file>